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Healthcare data cleaning\"/>
    </mc:Choice>
  </mc:AlternateContent>
  <xr:revisionPtr revIDLastSave="0" documentId="13_ncr:1_{F558A3A0-DA0A-4998-8C44-8474AD641AE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Regression_Output" sheetId="6" r:id="rId1"/>
    <sheet name="Data" sheetId="1" r:id="rId2"/>
    <sheet name="Model" sheetId="5" r:id="rId3"/>
    <sheet name="Correlation" sheetId="4" r:id="rId4"/>
    <sheet name="About" sheetId="2" r:id="rId5"/>
    <sheet name="Problem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5" l="1"/>
  <c r="I40" i="5"/>
  <c r="I41" i="5"/>
  <c r="I42" i="5"/>
  <c r="I43" i="5"/>
  <c r="I44" i="5"/>
  <c r="I45" i="5"/>
  <c r="I46" i="5"/>
  <c r="I47" i="5"/>
  <c r="I48" i="5"/>
  <c r="I49" i="5"/>
  <c r="I38" i="5"/>
  <c r="H10" i="5"/>
  <c r="H9" i="5"/>
  <c r="H8" i="5"/>
  <c r="F39" i="5"/>
  <c r="F40" i="5"/>
  <c r="F41" i="5"/>
  <c r="F42" i="5"/>
  <c r="F43" i="5"/>
  <c r="F44" i="5"/>
  <c r="F45" i="5"/>
  <c r="F46" i="5"/>
  <c r="F47" i="5"/>
  <c r="F48" i="5"/>
  <c r="F49" i="5"/>
  <c r="E39" i="5"/>
  <c r="E40" i="5"/>
  <c r="E41" i="5"/>
  <c r="E42" i="5"/>
  <c r="E43" i="5"/>
  <c r="E44" i="5"/>
  <c r="E45" i="5"/>
  <c r="E46" i="5"/>
  <c r="E47" i="5"/>
  <c r="E48" i="5"/>
  <c r="E49" i="5"/>
  <c r="F38" i="5"/>
  <c r="E38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2" i="5"/>
  <c r="H4" i="5"/>
  <c r="H3" i="5"/>
  <c r="H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2" i="5"/>
  <c r="C2" i="5"/>
  <c r="B2" i="5"/>
  <c r="B4" i="4"/>
  <c r="B3" i="4"/>
  <c r="B2" i="4"/>
</calcChain>
</file>

<file path=xl/sharedStrings.xml><?xml version="1.0" encoding="utf-8"?>
<sst xmlns="http://schemas.openxmlformats.org/spreadsheetml/2006/main" count="120" uniqueCount="65">
  <si>
    <t>Month</t>
  </si>
  <si>
    <t>Month_No</t>
  </si>
  <si>
    <t>Avg_Temp_C</t>
  </si>
  <si>
    <t>Flu_Cases</t>
  </si>
  <si>
    <t>Demand_Units</t>
  </si>
  <si>
    <t>Set</t>
  </si>
  <si>
    <t>Train</t>
  </si>
  <si>
    <t>Test</t>
  </si>
  <si>
    <t>Paracetamol 500 mg – Monthly Hospital Pharmacy Demand (Jan 2022 – Dec 2025)</t>
  </si>
  <si>
    <t>Synthetic dataset created for a student project; not real patient data.</t>
  </si>
  <si>
    <t>Month_No: 1–48 time index | Avg_Temp_C: average monthly temperature</t>
  </si>
  <si>
    <t>Flu_Cases: monthly flu cases seen at the hospital | Demand_Units: tablets strips dispensed (target)</t>
  </si>
  <si>
    <t>Set: Train = months 1–36 (2022–2024), Test = months 37–48 (2025)</t>
  </si>
  <si>
    <t>Problem type</t>
  </si>
  <si>
    <t>Drug demand forecasting</t>
  </si>
  <si>
    <t>Objective</t>
  </si>
  <si>
    <t>Target variable</t>
  </si>
  <si>
    <t>Predictors</t>
  </si>
  <si>
    <t>Method</t>
  </si>
  <si>
    <t>Evaluation</t>
  </si>
  <si>
    <t>Predict monthly demand for Paracetamol 500mg so the pharmacy can avoid stock outs and overstocking</t>
  </si>
  <si>
    <t>Month_No,Flu_Cases</t>
  </si>
  <si>
    <t>Multiple linear regression in Excel</t>
  </si>
  <si>
    <t>MAE,RMSE,MAPE on the 2025 test data</t>
  </si>
  <si>
    <t>Correlation</t>
  </si>
  <si>
    <t>Correlation with Demand</t>
  </si>
  <si>
    <t>Flu_cases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</si>
  <si>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</si>
  <si>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</si>
  <si>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</si>
  <si>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</si>
  <si>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</si>
  <si>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</si>
  <si>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</si>
  <si>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</si>
  <si>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</si>
  <si>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</si>
  <si>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</si>
  <si>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</si>
  <si>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</si>
  <si>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</si>
  <si>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</si>
  <si>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</si>
  <si>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</si>
  <si>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</si>
  <si>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</si>
  <si>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</si>
  <si>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</si>
  <si>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</si>
  <si>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</si>
  <si>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</si>
  <si>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</si>
  <si>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</si>
  <si>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Coeeficients</t>
  </si>
  <si>
    <t>Month No</t>
  </si>
  <si>
    <t>Flu Cases</t>
  </si>
  <si>
    <t>Predicted_Demand</t>
  </si>
  <si>
    <t xml:space="preserve">               </t>
  </si>
  <si>
    <t>Abs_Error</t>
  </si>
  <si>
    <t>Abs_%_Error</t>
  </si>
  <si>
    <t>Metric</t>
  </si>
  <si>
    <t>MAE</t>
  </si>
  <si>
    <t>Value</t>
  </si>
  <si>
    <t>RMSE</t>
  </si>
  <si>
    <t>MAPE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</si>
</sst>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165" fontId="1" fillId="0" borderId="0" xfId="0" applyNumberFormat="1" applyFont="1"/>
    <xf numFmtId="0" fontId="1" fillId="0" borderId="0" xfId="0" applyFont="1"/>
    <xf numFmtId="0" fontId="3" fillId="0" borderId="0" xfId="0" applyFont="1"/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Continuous"/>
    </xf>
    <xf numFmtId="1" fontId="0" fillId="0" borderId="0" xfId="0" applyNumberFormat="1"/>
    <xf numFmtId="9" fontId="0" fillId="0" borderId="0" xfId="1" applyNumberFormat="1" applyFont="1"/>
    <xf numFmtId="9" fontId="0" fillId="0" borderId="0" xfId="0" applyNumberFormat="1"/>
    <xf numFmtId="17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Paracetamol</a:t>
            </a:r>
            <a:r>
              <a:rPr lang="en-IN" baseline="0"/>
              <a:t> 500mg Demand (2022-25)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Data!$A$2:$A$49</c:f>
              <c:numCache>
                <c:formatCode>mmm\-yyyy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0-4A83-B101-6205ED7E47C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Data!$E$1:$E$49</c:f>
              <c:numCache>
                <c:formatCode>General</c:formatCode>
                <c:ptCount val="49"/>
                <c:pt idx="0">
                  <c:v>0</c:v>
                </c:pt>
                <c:pt idx="1">
                  <c:v>4553</c:v>
                </c:pt>
                <c:pt idx="2">
                  <c:v>4254</c:v>
                </c:pt>
                <c:pt idx="3">
                  <c:v>4645</c:v>
                </c:pt>
                <c:pt idx="4">
                  <c:v>5205</c:v>
                </c:pt>
                <c:pt idx="5">
                  <c:v>5555</c:v>
                </c:pt>
                <c:pt idx="6">
                  <c:v>5611</c:v>
                </c:pt>
                <c:pt idx="7">
                  <c:v>5952</c:v>
                </c:pt>
                <c:pt idx="8">
                  <c:v>6262</c:v>
                </c:pt>
                <c:pt idx="9">
                  <c:v>6122</c:v>
                </c:pt>
                <c:pt idx="10">
                  <c:v>6035</c:v>
                </c:pt>
                <c:pt idx="11">
                  <c:v>5516</c:v>
                </c:pt>
                <c:pt idx="12">
                  <c:v>5636</c:v>
                </c:pt>
                <c:pt idx="13">
                  <c:v>4974</c:v>
                </c:pt>
                <c:pt idx="14">
                  <c:v>5359</c:v>
                </c:pt>
                <c:pt idx="15">
                  <c:v>5358</c:v>
                </c:pt>
                <c:pt idx="16">
                  <c:v>5743</c:v>
                </c:pt>
                <c:pt idx="17">
                  <c:v>6014</c:v>
                </c:pt>
                <c:pt idx="18">
                  <c:v>6085</c:v>
                </c:pt>
                <c:pt idx="19">
                  <c:v>6487</c:v>
                </c:pt>
                <c:pt idx="20">
                  <c:v>6782</c:v>
                </c:pt>
                <c:pt idx="21">
                  <c:v>6697</c:v>
                </c:pt>
                <c:pt idx="22">
                  <c:v>6756</c:v>
                </c:pt>
                <c:pt idx="23">
                  <c:v>6342</c:v>
                </c:pt>
                <c:pt idx="24">
                  <c:v>5675</c:v>
                </c:pt>
                <c:pt idx="25">
                  <c:v>5920</c:v>
                </c:pt>
                <c:pt idx="26">
                  <c:v>5769</c:v>
                </c:pt>
                <c:pt idx="27">
                  <c:v>5967</c:v>
                </c:pt>
                <c:pt idx="28">
                  <c:v>6111</c:v>
                </c:pt>
                <c:pt idx="29">
                  <c:v>6584</c:v>
                </c:pt>
                <c:pt idx="30">
                  <c:v>7090</c:v>
                </c:pt>
                <c:pt idx="31">
                  <c:v>7158</c:v>
                </c:pt>
                <c:pt idx="32">
                  <c:v>6932</c:v>
                </c:pt>
                <c:pt idx="33">
                  <c:v>7272</c:v>
                </c:pt>
                <c:pt idx="34">
                  <c:v>7308</c:v>
                </c:pt>
                <c:pt idx="35">
                  <c:v>6865</c:v>
                </c:pt>
                <c:pt idx="36">
                  <c:v>6460</c:v>
                </c:pt>
                <c:pt idx="37">
                  <c:v>6297</c:v>
                </c:pt>
                <c:pt idx="38">
                  <c:v>6132</c:v>
                </c:pt>
                <c:pt idx="39">
                  <c:v>6527</c:v>
                </c:pt>
                <c:pt idx="40">
                  <c:v>7033</c:v>
                </c:pt>
                <c:pt idx="41">
                  <c:v>7272</c:v>
                </c:pt>
                <c:pt idx="42">
                  <c:v>7752</c:v>
                </c:pt>
                <c:pt idx="43">
                  <c:v>7612</c:v>
                </c:pt>
                <c:pt idx="44">
                  <c:v>7744</c:v>
                </c:pt>
                <c:pt idx="45">
                  <c:v>7721</c:v>
                </c:pt>
                <c:pt idx="46">
                  <c:v>7959</c:v>
                </c:pt>
                <c:pt idx="47">
                  <c:v>7986</c:v>
                </c:pt>
                <c:pt idx="48">
                  <c:v>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0-4A83-B101-6205ED7E4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2138943"/>
        <c:axId val="1949591631"/>
      </c:lineChart>
      <c:catAx>
        <c:axId val="21421389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591631"/>
        <c:crosses val="autoZero"/>
        <c:auto val="1"/>
        <c:lblAlgn val="ctr"/>
        <c:lblOffset val="100"/>
        <c:noMultiLvlLbl val="0"/>
      </c:catAx>
      <c:valAx>
        <c:axId val="194959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/yy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3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Flu</a:t>
            </a:r>
            <a:r>
              <a:rPr lang="en-US" baseline="0"/>
              <a:t> cases Vs Demand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Demand_Units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Data!$D$2:$D$49</c:f>
              <c:numCache>
                <c:formatCode>General</c:formatCode>
                <c:ptCount val="48"/>
                <c:pt idx="0">
                  <c:v>44</c:v>
                </c:pt>
                <c:pt idx="1">
                  <c:v>40</c:v>
                </c:pt>
                <c:pt idx="2">
                  <c:v>57</c:v>
                </c:pt>
                <c:pt idx="3">
                  <c:v>101</c:v>
                </c:pt>
                <c:pt idx="4">
                  <c:v>140</c:v>
                </c:pt>
                <c:pt idx="5">
                  <c:v>165</c:v>
                </c:pt>
                <c:pt idx="6">
                  <c:v>185</c:v>
                </c:pt>
                <c:pt idx="7">
                  <c:v>214</c:v>
                </c:pt>
                <c:pt idx="8">
                  <c:v>182</c:v>
                </c:pt>
                <c:pt idx="9">
                  <c:v>169</c:v>
                </c:pt>
                <c:pt idx="10">
                  <c:v>122</c:v>
                </c:pt>
                <c:pt idx="11">
                  <c:v>103</c:v>
                </c:pt>
                <c:pt idx="12">
                  <c:v>57</c:v>
                </c:pt>
                <c:pt idx="13">
                  <c:v>72</c:v>
                </c:pt>
                <c:pt idx="14">
                  <c:v>74</c:v>
                </c:pt>
                <c:pt idx="15">
                  <c:v>110</c:v>
                </c:pt>
                <c:pt idx="16">
                  <c:v>134</c:v>
                </c:pt>
                <c:pt idx="17">
                  <c:v>147</c:v>
                </c:pt>
                <c:pt idx="18">
                  <c:v>186</c:v>
                </c:pt>
                <c:pt idx="19">
                  <c:v>193</c:v>
                </c:pt>
                <c:pt idx="20">
                  <c:v>192</c:v>
                </c:pt>
                <c:pt idx="21">
                  <c:v>183</c:v>
                </c:pt>
                <c:pt idx="22">
                  <c:v>131</c:v>
                </c:pt>
                <c:pt idx="23">
                  <c:v>85</c:v>
                </c:pt>
                <c:pt idx="24">
                  <c:v>86</c:v>
                </c:pt>
                <c:pt idx="25">
                  <c:v>64</c:v>
                </c:pt>
                <c:pt idx="26">
                  <c:v>76</c:v>
                </c:pt>
                <c:pt idx="27">
                  <c:v>101</c:v>
                </c:pt>
                <c:pt idx="28">
                  <c:v>150</c:v>
                </c:pt>
                <c:pt idx="29">
                  <c:v>186</c:v>
                </c:pt>
                <c:pt idx="30">
                  <c:v>203</c:v>
                </c:pt>
                <c:pt idx="31">
                  <c:v>190</c:v>
                </c:pt>
                <c:pt idx="32">
                  <c:v>192</c:v>
                </c:pt>
                <c:pt idx="33">
                  <c:v>176</c:v>
                </c:pt>
                <c:pt idx="34">
                  <c:v>159</c:v>
                </c:pt>
                <c:pt idx="35">
                  <c:v>99</c:v>
                </c:pt>
                <c:pt idx="36">
                  <c:v>63</c:v>
                </c:pt>
                <c:pt idx="37">
                  <c:v>71</c:v>
                </c:pt>
                <c:pt idx="38">
                  <c:v>82</c:v>
                </c:pt>
                <c:pt idx="39">
                  <c:v>141</c:v>
                </c:pt>
                <c:pt idx="40">
                  <c:v>155</c:v>
                </c:pt>
                <c:pt idx="41">
                  <c:v>201</c:v>
                </c:pt>
                <c:pt idx="42">
                  <c:v>197</c:v>
                </c:pt>
                <c:pt idx="43">
                  <c:v>219</c:v>
                </c:pt>
                <c:pt idx="44">
                  <c:v>213</c:v>
                </c:pt>
                <c:pt idx="45">
                  <c:v>196</c:v>
                </c:pt>
                <c:pt idx="46">
                  <c:v>201</c:v>
                </c:pt>
                <c:pt idx="47">
                  <c:v>91</c:v>
                </c:pt>
              </c:numCache>
            </c:numRef>
          </c:xVal>
          <c:yVal>
            <c:numRef>
              <c:f>Data!$E$2:$E$49</c:f>
              <c:numCache>
                <c:formatCode>General</c:formatCode>
                <c:ptCount val="48"/>
                <c:pt idx="0">
                  <c:v>4553</c:v>
                </c:pt>
                <c:pt idx="1">
                  <c:v>4254</c:v>
                </c:pt>
                <c:pt idx="2">
                  <c:v>4645</c:v>
                </c:pt>
                <c:pt idx="3">
                  <c:v>5205</c:v>
                </c:pt>
                <c:pt idx="4">
                  <c:v>5555</c:v>
                </c:pt>
                <c:pt idx="5">
                  <c:v>5611</c:v>
                </c:pt>
                <c:pt idx="6">
                  <c:v>5952</c:v>
                </c:pt>
                <c:pt idx="7">
                  <c:v>6262</c:v>
                </c:pt>
                <c:pt idx="8">
                  <c:v>6122</c:v>
                </c:pt>
                <c:pt idx="9">
                  <c:v>6035</c:v>
                </c:pt>
                <c:pt idx="10">
                  <c:v>5516</c:v>
                </c:pt>
                <c:pt idx="11">
                  <c:v>5636</c:v>
                </c:pt>
                <c:pt idx="12">
                  <c:v>4974</c:v>
                </c:pt>
                <c:pt idx="13">
                  <c:v>5359</c:v>
                </c:pt>
                <c:pt idx="14">
                  <c:v>5358</c:v>
                </c:pt>
                <c:pt idx="15">
                  <c:v>5743</c:v>
                </c:pt>
                <c:pt idx="16">
                  <c:v>6014</c:v>
                </c:pt>
                <c:pt idx="17">
                  <c:v>6085</c:v>
                </c:pt>
                <c:pt idx="18">
                  <c:v>6487</c:v>
                </c:pt>
                <c:pt idx="19">
                  <c:v>6782</c:v>
                </c:pt>
                <c:pt idx="20">
                  <c:v>6697</c:v>
                </c:pt>
                <c:pt idx="21">
                  <c:v>6756</c:v>
                </c:pt>
                <c:pt idx="22">
                  <c:v>6342</c:v>
                </c:pt>
                <c:pt idx="23">
                  <c:v>5675</c:v>
                </c:pt>
                <c:pt idx="24">
                  <c:v>5920</c:v>
                </c:pt>
                <c:pt idx="25">
                  <c:v>5769</c:v>
                </c:pt>
                <c:pt idx="26">
                  <c:v>5967</c:v>
                </c:pt>
                <c:pt idx="27">
                  <c:v>6111</c:v>
                </c:pt>
                <c:pt idx="28">
                  <c:v>6584</c:v>
                </c:pt>
                <c:pt idx="29">
                  <c:v>7090</c:v>
                </c:pt>
                <c:pt idx="30">
                  <c:v>7158</c:v>
                </c:pt>
                <c:pt idx="31">
                  <c:v>6932</c:v>
                </c:pt>
                <c:pt idx="32">
                  <c:v>7272</c:v>
                </c:pt>
                <c:pt idx="33">
                  <c:v>7308</c:v>
                </c:pt>
                <c:pt idx="34">
                  <c:v>6865</c:v>
                </c:pt>
                <c:pt idx="35">
                  <c:v>6460</c:v>
                </c:pt>
                <c:pt idx="36">
                  <c:v>6297</c:v>
                </c:pt>
                <c:pt idx="37">
                  <c:v>6132</c:v>
                </c:pt>
                <c:pt idx="38">
                  <c:v>6527</c:v>
                </c:pt>
                <c:pt idx="39">
                  <c:v>7033</c:v>
                </c:pt>
                <c:pt idx="40">
                  <c:v>7272</c:v>
                </c:pt>
                <c:pt idx="41">
                  <c:v>7752</c:v>
                </c:pt>
                <c:pt idx="42">
                  <c:v>7612</c:v>
                </c:pt>
                <c:pt idx="43">
                  <c:v>7744</c:v>
                </c:pt>
                <c:pt idx="44">
                  <c:v>7721</c:v>
                </c:pt>
                <c:pt idx="45">
                  <c:v>7959</c:v>
                </c:pt>
                <c:pt idx="46">
                  <c:v>7986</c:v>
                </c:pt>
                <c:pt idx="47">
                  <c:v>7019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1-41A0-BFF3-079777CE8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9070799"/>
        <c:axId val="2146856399"/>
      </c:scatterChart>
      <c:valAx>
        <c:axId val="2139070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56399"/>
        <c:crosses val="autoZero"/>
        <c:crossBetween val="midCat"/>
      </c:valAx>
      <c:valAx>
        <c:axId val="21468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070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Actual</a:t>
            </a:r>
            <a:r>
              <a:rPr lang="en-IN" baseline="0"/>
              <a:t> vs Predicted data (2025)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Model!$C$38:$C$49</c:f>
              <c:numCache>
                <c:formatCode>General</c:formatCode>
                <c:ptCount val="12"/>
                <c:pt idx="0">
                  <c:v>6297</c:v>
                </c:pt>
                <c:pt idx="1">
                  <c:v>6132</c:v>
                </c:pt>
                <c:pt idx="2">
                  <c:v>6527</c:v>
                </c:pt>
                <c:pt idx="3">
                  <c:v>7033</c:v>
                </c:pt>
                <c:pt idx="4">
                  <c:v>7272</c:v>
                </c:pt>
                <c:pt idx="5">
                  <c:v>7752</c:v>
                </c:pt>
                <c:pt idx="6">
                  <c:v>7612</c:v>
                </c:pt>
                <c:pt idx="7">
                  <c:v>7744</c:v>
                </c:pt>
                <c:pt idx="8">
                  <c:v>7721</c:v>
                </c:pt>
                <c:pt idx="9">
                  <c:v>7959</c:v>
                </c:pt>
                <c:pt idx="10">
                  <c:v>7986</c:v>
                </c:pt>
                <c:pt idx="11">
                  <c:v>7019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40-492D-B789-9127F578E555}"/>
            </c:ext>
          </c:extLst>
        </c:ser>
        <c:ser>
          <c:idx val="1"/>
          <c:order val="1"/>
          <c:tx>
            <c:v>Predicted Demand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Model!$D$38:$D$49</c:f>
              <c:numCache>
                <c:formatCode>0</c:formatCode>
                <c:ptCount val="12"/>
                <c:pt idx="0">
                  <c:v>148013.07007915198</c:v>
                </c:pt>
                <c:pt idx="1">
                  <c:v>148786.33213971232</c:v>
                </c:pt>
                <c:pt idx="2">
                  <c:v>149850.76319009555</c:v>
                </c:pt>
                <c:pt idx="3">
                  <c:v>155573.89807764406</c:v>
                </c:pt>
                <c:pt idx="4">
                  <c:v>156929.4981178501</c:v>
                </c:pt>
                <c:pt idx="5">
                  <c:v>161390.90071616636</c:v>
                </c:pt>
                <c:pt idx="6">
                  <c:v>160999.48681743536</c:v>
                </c:pt>
                <c:pt idx="7">
                  <c:v>163131.53749716893</c:v>
                </c:pt>
                <c:pt idx="8">
                  <c:v>162546.01093855605</c:v>
                </c:pt>
                <c:pt idx="9">
                  <c:v>160892.86475059279</c:v>
                </c:pt>
                <c:pt idx="10">
                  <c:v>161374.95782133032</c:v>
                </c:pt>
                <c:pt idx="11">
                  <c:v>150695.57294885916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40-492D-B789-9127F578E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424143"/>
        <c:axId val="2146942319"/>
      </c:lineChart>
      <c:catAx>
        <c:axId val="9642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942319"/>
        <c:crosses val="autoZero"/>
        <c:auto val="1"/>
        <c:lblAlgn val="ctr"/>
        <c:lblOffset val="100"/>
        <c:noMultiLvlLbl val="0"/>
      </c:catAx>
      <c:valAx>
        <c:axId val="214694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2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219074</xdr:colOff>
      <xdr:row>16</xdr:row>
      <xdr:rowOff>185737</xdr:rowOff>
    </xdr:from>
    <xdr:to>
      <xdr:col>15</xdr:col>
      <xdr:colOff>133349</xdr:colOff>
      <xdr:row>31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CB166-9CFD-310A-4CFA-F7584AFDF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1</xdr:row>
      <xdr:rowOff>57156</xdr:rowOff>
    </xdr:from>
    <xdr:to>
      <xdr:col>14</xdr:col>
      <xdr:colOff>257175</xdr:colOff>
      <xdr:row>15</xdr:row>
      <xdr:rowOff>133356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0F0117-BDE7-A987-D9E2-DE9A01E05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</xdr:colOff>
      <xdr:row>35</xdr:row>
      <xdr:rowOff>157162</xdr:rowOff>
    </xdr:from>
    <xdr:to>
      <xdr:col>17</xdr:col>
      <xdr:colOff>381000</xdr:colOff>
      <xdr:row>50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44866D-3452-0855-CAD6-84F5869EF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11D0-3218-4287-8D4E-E96E59C89718}">
  <dimension ref="A1:I19"/>
  <sheetViews>
    <sheetView topLeftCell="A2" workbookViewId="0">
      <selection activeCell="J10" sqref="J10"/>
    </sheetView>
  </sheetViews>
  <sheetFormatPr defaultRowHeight="15" x14ac:dyDescent="0.25"/>
  <sheetData>
    <row r="1" spans="1:9" x14ac:dyDescent="0.25">
      <c r="A1" t="s">
        <v>27</v>
      </c>
    </row>
    <row r="2" spans="1:9" ht="15.75" thickBot="1" x14ac:dyDescent="0.3"/>
    <row r="3" spans="1:9" x14ac:dyDescent="0.25">
      <c r="A3" s="9" t="s">
        <v>28</v>
      </c>
      <c r="B3" s="9"/>
    </row>
    <row r="4" spans="1:9" x14ac:dyDescent="0.25">
      <c r="A4" s="6" t="s">
        <v>29</v>
      </c>
      <c r="B4" s="6">
        <v>0.60162532923822198</v>
      </c>
    </row>
    <row r="5" spans="1:9" x14ac:dyDescent="0.25">
      <c r="A5" s="6" t="s">
        <v>30</v>
      </c>
      <c r="B5" s="6">
        <v>0.36195303678099905</v>
      </c>
    </row>
    <row r="6" spans="1:9" x14ac:dyDescent="0.25">
      <c r="A6" s="6" t="s">
        <v>31</v>
      </c>
      <c r="B6" s="6">
        <v>0.3232835238586354</v>
      </c>
    </row>
    <row r="7" spans="1:9" x14ac:dyDescent="0.25">
      <c r="A7" s="6" t="s">
        <v>32</v>
      </c>
      <c r="B7" s="6">
        <v>2.9904896645200365</v>
      </c>
    </row>
    <row r="8" spans="1:9" ht="15.75" thickBot="1" x14ac:dyDescent="0.3">
      <c r="A8" s="7" t="s">
        <v>33</v>
      </c>
      <c r="B8" s="7">
        <v>36</v>
      </c>
    </row>
    <row r="10" spans="1:9" ht="15.75" thickBot="1" x14ac:dyDescent="0.3">
      <c r="A10" t="s">
        <v>34</v>
      </c>
    </row>
    <row r="11" spans="1:9" x14ac:dyDescent="0.25">
      <c r="A11" s="8"/>
      <c r="B11" s="8" t="s">
        <v>39</v>
      </c>
      <c r="C11" s="8" t="s">
        <v>40</v>
      </c>
      <c r="D11" s="8" t="s">
        <v>41</v>
      </c>
      <c r="E11" s="8" t="s">
        <v>42</v>
      </c>
      <c r="F11" s="8" t="s">
        <v>43</v>
      </c>
    </row>
    <row r="12" spans="1:9" x14ac:dyDescent="0.25">
      <c r="A12" s="6" t="s">
        <v>35</v>
      </c>
      <c r="B12" s="6">
        <v>2</v>
      </c>
      <c r="C12" s="6">
        <v>167.41645058005042</v>
      </c>
      <c r="D12" s="6">
        <v>83.708225290025212</v>
      </c>
      <c r="E12" s="6">
        <v>9.3601653971615253</v>
      </c>
      <c r="F12" s="6">
        <v>6.0265485389667136E-4</v>
      </c>
    </row>
    <row r="13" spans="1:9" x14ac:dyDescent="0.25">
      <c r="A13" s="6" t="s">
        <v>36</v>
      </c>
      <c r="B13" s="6">
        <v>33</v>
      </c>
      <c r="C13" s="6">
        <v>295.1199383088383</v>
      </c>
      <c r="D13" s="6">
        <v>8.9430284336011603</v>
      </c>
      <c r="E13" s="6"/>
      <c r="F13" s="6"/>
    </row>
    <row r="14" spans="1:9" ht="15.75" thickBot="1" x14ac:dyDescent="0.3">
      <c r="A14" s="7" t="s">
        <v>37</v>
      </c>
      <c r="B14" s="7">
        <v>35</v>
      </c>
      <c r="C14" s="7">
        <v>462.53638888888872</v>
      </c>
      <c r="D14" s="7"/>
      <c r="E14" s="7"/>
      <c r="F14" s="7"/>
    </row>
    <row r="15" spans="1:9" ht="15.75" thickBot="1" x14ac:dyDescent="0.3"/>
    <row r="16" spans="1:9" x14ac:dyDescent="0.25">
      <c r="A16" s="8"/>
      <c r="B16" s="8" t="s">
        <v>44</v>
      </c>
      <c r="C16" s="8" t="s">
        <v>32</v>
      </c>
      <c r="D16" s="8" t="s">
        <v>45</v>
      </c>
      <c r="E16" s="8" t="s">
        <v>46</v>
      </c>
      <c r="F16" s="8" t="s">
        <v>47</v>
      </c>
      <c r="G16" s="8" t="s">
        <v>48</v>
      </c>
      <c r="H16" s="8" t="s">
        <v>49</v>
      </c>
      <c r="I16" s="8" t="s">
        <v>50</v>
      </c>
    </row>
    <row r="17" spans="1:9" x14ac:dyDescent="0.25">
      <c r="A17" s="6" t="s">
        <v>38</v>
      </c>
      <c r="B17" s="6">
        <v>142016.4987146591</v>
      </c>
      <c r="C17" s="6">
        <v>33360.905472055027</v>
      </c>
      <c r="D17" s="6">
        <v>4.2569737453205558</v>
      </c>
      <c r="E17" s="6">
        <v>1.6133977364860192E-4</v>
      </c>
      <c r="F17" s="6">
        <v>74143.226195001771</v>
      </c>
      <c r="G17" s="6">
        <v>209889.77123431643</v>
      </c>
      <c r="H17" s="6">
        <v>74143.226195001771</v>
      </c>
      <c r="I17" s="6">
        <v>209889.77123431643</v>
      </c>
    </row>
    <row r="18" spans="1:9" x14ac:dyDescent="0.25">
      <c r="A18" s="6" t="s">
        <v>51</v>
      </c>
      <c r="B18" s="6">
        <v>-3.1885789672068561</v>
      </c>
      <c r="C18" s="6">
        <v>0.7491707274142444</v>
      </c>
      <c r="D18" s="6">
        <v>-4.2561446283575517</v>
      </c>
      <c r="E18" s="6">
        <v>1.6172543405202247E-4</v>
      </c>
      <c r="F18" s="6">
        <v>-4.7127782725323861</v>
      </c>
      <c r="G18" s="6">
        <v>-1.6643796618813265</v>
      </c>
      <c r="H18" s="6">
        <v>-4.7127782725323861</v>
      </c>
      <c r="I18" s="6">
        <v>-1.6643796618813265</v>
      </c>
    </row>
    <row r="19" spans="1:9" ht="15.75" thickBot="1" x14ac:dyDescent="0.3">
      <c r="A19" s="7" t="s">
        <v>52</v>
      </c>
      <c r="B19" s="7">
        <v>97.05632994094492</v>
      </c>
      <c r="C19" s="7">
        <v>22.812636567240808</v>
      </c>
      <c r="D19" s="7">
        <v>4.2544985826109576</v>
      </c>
      <c r="E19" s="7">
        <v>1.6249377333698941E-4</v>
      </c>
      <c r="F19" s="7">
        <v>50.643671869741304</v>
      </c>
      <c r="G19" s="7">
        <v>143.46898801214854</v>
      </c>
      <c r="H19" s="7">
        <v>50.643671869741304</v>
      </c>
      <c r="I19" s="7">
        <v>143.46898801214854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pane ySplit="1" topLeftCell="A18" activePane="bottomLeft" state="frozen"/>
      <selection pane="bottomLeft" activeCell="Q5" sqref="Q5"/>
    </sheetView>
  </sheetViews>
  <sheetFormatPr defaultRowHeight="15" x14ac:dyDescent="0.25"/>
  <cols>
    <col min="1" max="1" width="12" customWidth="1"/>
    <col min="2" max="2" width="11" customWidth="1"/>
    <col min="3" max="3" width="12" customWidth="1"/>
    <col min="4" max="4" width="11" customWidth="1"/>
    <col min="5" max="5" width="14" customWidth="1"/>
    <col min="6" max="6" width="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44562</v>
      </c>
      <c r="B2" s="3">
        <v>1</v>
      </c>
      <c r="C2" s="3">
        <v>22.9</v>
      </c>
      <c r="D2" s="3">
        <v>44</v>
      </c>
      <c r="E2" s="3">
        <v>4553</v>
      </c>
      <c r="F2" s="3" t="s">
        <v>6</v>
      </c>
    </row>
    <row r="3" spans="1:6" x14ac:dyDescent="0.25">
      <c r="A3" s="2">
        <v>44593</v>
      </c>
      <c r="B3" s="3">
        <v>2</v>
      </c>
      <c r="C3" s="3">
        <v>25.3</v>
      </c>
      <c r="D3" s="3">
        <v>40</v>
      </c>
      <c r="E3" s="3">
        <v>4254</v>
      </c>
      <c r="F3" s="3" t="s">
        <v>6</v>
      </c>
    </row>
    <row r="4" spans="1:6" x14ac:dyDescent="0.25">
      <c r="A4" s="2">
        <v>44621</v>
      </c>
      <c r="B4" s="3">
        <v>3</v>
      </c>
      <c r="C4" s="3">
        <v>27.1</v>
      </c>
      <c r="D4" s="3">
        <v>57</v>
      </c>
      <c r="E4" s="3">
        <v>4645</v>
      </c>
      <c r="F4" s="3" t="s">
        <v>6</v>
      </c>
    </row>
    <row r="5" spans="1:6" x14ac:dyDescent="0.25">
      <c r="A5" s="2">
        <v>44652</v>
      </c>
      <c r="B5" s="3">
        <v>4</v>
      </c>
      <c r="C5" s="3">
        <v>28.8</v>
      </c>
      <c r="D5" s="3">
        <v>101</v>
      </c>
      <c r="E5" s="3">
        <v>5205</v>
      </c>
      <c r="F5" s="3" t="s">
        <v>6</v>
      </c>
    </row>
    <row r="6" spans="1:6" x14ac:dyDescent="0.25">
      <c r="A6" s="2">
        <v>44682</v>
      </c>
      <c r="B6" s="3">
        <v>5</v>
      </c>
      <c r="C6" s="3">
        <v>31.4</v>
      </c>
      <c r="D6" s="3">
        <v>140</v>
      </c>
      <c r="E6" s="3">
        <v>5555</v>
      </c>
      <c r="F6" s="3" t="s">
        <v>6</v>
      </c>
    </row>
    <row r="7" spans="1:6" x14ac:dyDescent="0.25">
      <c r="A7" s="2">
        <v>44713</v>
      </c>
      <c r="B7" s="3">
        <v>6</v>
      </c>
      <c r="C7" s="3">
        <v>31.3</v>
      </c>
      <c r="D7" s="3">
        <v>165</v>
      </c>
      <c r="E7" s="3">
        <v>5611</v>
      </c>
      <c r="F7" s="3" t="s">
        <v>6</v>
      </c>
    </row>
    <row r="8" spans="1:6" x14ac:dyDescent="0.25">
      <c r="A8" s="2">
        <v>44743</v>
      </c>
      <c r="B8" s="3">
        <v>7</v>
      </c>
      <c r="C8" s="3">
        <v>32</v>
      </c>
      <c r="D8" s="3">
        <v>185</v>
      </c>
      <c r="E8" s="3">
        <v>5952</v>
      </c>
      <c r="F8" s="3" t="s">
        <v>6</v>
      </c>
    </row>
    <row r="9" spans="1:6" x14ac:dyDescent="0.25">
      <c r="A9" s="2">
        <v>44774</v>
      </c>
      <c r="B9" s="3">
        <v>8</v>
      </c>
      <c r="C9" s="3">
        <v>29</v>
      </c>
      <c r="D9" s="3">
        <v>214</v>
      </c>
      <c r="E9" s="3">
        <v>6262</v>
      </c>
      <c r="F9" s="3" t="s">
        <v>6</v>
      </c>
    </row>
    <row r="10" spans="1:6" x14ac:dyDescent="0.25">
      <c r="A10" s="2">
        <v>44805</v>
      </c>
      <c r="B10" s="3">
        <v>9</v>
      </c>
      <c r="C10" s="3">
        <v>26.7</v>
      </c>
      <c r="D10" s="3">
        <v>182</v>
      </c>
      <c r="E10" s="3">
        <v>6122</v>
      </c>
      <c r="F10" s="3" t="s">
        <v>6</v>
      </c>
    </row>
    <row r="11" spans="1:6" x14ac:dyDescent="0.25">
      <c r="A11" s="2">
        <v>44835</v>
      </c>
      <c r="B11" s="3">
        <v>10</v>
      </c>
      <c r="C11" s="3">
        <v>24.8</v>
      </c>
      <c r="D11" s="3">
        <v>169</v>
      </c>
      <c r="E11" s="3">
        <v>6035</v>
      </c>
      <c r="F11" s="3" t="s">
        <v>6</v>
      </c>
    </row>
    <row r="12" spans="1:6" x14ac:dyDescent="0.25">
      <c r="A12" s="2">
        <v>44866</v>
      </c>
      <c r="B12" s="3">
        <v>11</v>
      </c>
      <c r="C12" s="3">
        <v>24.4</v>
      </c>
      <c r="D12" s="3">
        <v>122</v>
      </c>
      <c r="E12" s="3">
        <v>5516</v>
      </c>
      <c r="F12" s="3" t="s">
        <v>6</v>
      </c>
    </row>
    <row r="13" spans="1:6" x14ac:dyDescent="0.25">
      <c r="A13" s="2">
        <v>44896</v>
      </c>
      <c r="B13" s="3">
        <v>12</v>
      </c>
      <c r="C13" s="3">
        <v>21.3</v>
      </c>
      <c r="D13" s="3">
        <v>103</v>
      </c>
      <c r="E13" s="3">
        <v>5636</v>
      </c>
      <c r="F13" s="3" t="s">
        <v>6</v>
      </c>
    </row>
    <row r="14" spans="1:6" x14ac:dyDescent="0.25">
      <c r="A14" s="2">
        <v>44927</v>
      </c>
      <c r="B14" s="3">
        <v>13</v>
      </c>
      <c r="C14" s="3">
        <v>22.6</v>
      </c>
      <c r="D14" s="3">
        <v>57</v>
      </c>
      <c r="E14" s="3">
        <v>4974</v>
      </c>
      <c r="F14" s="3" t="s">
        <v>6</v>
      </c>
    </row>
    <row r="15" spans="1:6" x14ac:dyDescent="0.25">
      <c r="A15" s="2">
        <v>44958</v>
      </c>
      <c r="B15" s="3">
        <v>14</v>
      </c>
      <c r="C15" s="3">
        <v>25</v>
      </c>
      <c r="D15" s="3">
        <v>72</v>
      </c>
      <c r="E15" s="3">
        <v>5359</v>
      </c>
      <c r="F15" s="3" t="s">
        <v>6</v>
      </c>
    </row>
    <row r="16" spans="1:6" x14ac:dyDescent="0.25">
      <c r="A16" s="2">
        <v>44986</v>
      </c>
      <c r="B16" s="3">
        <v>15</v>
      </c>
      <c r="C16" s="3">
        <v>26.5</v>
      </c>
      <c r="D16" s="3">
        <v>74</v>
      </c>
      <c r="E16" s="3">
        <v>5358</v>
      </c>
      <c r="F16" s="3" t="s">
        <v>6</v>
      </c>
    </row>
    <row r="17" spans="1:6" x14ac:dyDescent="0.25">
      <c r="A17" s="2">
        <v>45017</v>
      </c>
      <c r="B17" s="3">
        <v>16</v>
      </c>
      <c r="C17" s="3">
        <v>29.7</v>
      </c>
      <c r="D17" s="3">
        <v>110</v>
      </c>
      <c r="E17" s="3">
        <v>5743</v>
      </c>
      <c r="F17" s="3" t="s">
        <v>6</v>
      </c>
    </row>
    <row r="18" spans="1:6" x14ac:dyDescent="0.25">
      <c r="A18" s="2">
        <v>45047</v>
      </c>
      <c r="B18" s="3">
        <v>17</v>
      </c>
      <c r="C18" s="3">
        <v>31.9</v>
      </c>
      <c r="D18" s="3">
        <v>134</v>
      </c>
      <c r="E18" s="3">
        <v>6014</v>
      </c>
      <c r="F18" s="3" t="s">
        <v>6</v>
      </c>
    </row>
    <row r="19" spans="1:6" x14ac:dyDescent="0.25">
      <c r="A19" s="2">
        <v>45078</v>
      </c>
      <c r="B19" s="3">
        <v>18</v>
      </c>
      <c r="C19" s="3">
        <v>32.5</v>
      </c>
      <c r="D19" s="3">
        <v>147</v>
      </c>
      <c r="E19" s="3">
        <v>6085</v>
      </c>
      <c r="F19" s="3" t="s">
        <v>6</v>
      </c>
    </row>
    <row r="20" spans="1:6" x14ac:dyDescent="0.25">
      <c r="A20" s="2">
        <v>45108</v>
      </c>
      <c r="B20" s="3">
        <v>19</v>
      </c>
      <c r="C20" s="3">
        <v>31</v>
      </c>
      <c r="D20" s="3">
        <v>186</v>
      </c>
      <c r="E20" s="3">
        <v>6487</v>
      </c>
      <c r="F20" s="3" t="s">
        <v>6</v>
      </c>
    </row>
    <row r="21" spans="1:6" x14ac:dyDescent="0.25">
      <c r="A21" s="2">
        <v>45139</v>
      </c>
      <c r="B21" s="3">
        <v>20</v>
      </c>
      <c r="C21" s="3">
        <v>30.7</v>
      </c>
      <c r="D21" s="3">
        <v>193</v>
      </c>
      <c r="E21" s="3">
        <v>6782</v>
      </c>
      <c r="F21" s="3" t="s">
        <v>6</v>
      </c>
    </row>
    <row r="22" spans="1:6" x14ac:dyDescent="0.25">
      <c r="A22" s="2">
        <v>45170</v>
      </c>
      <c r="B22" s="3">
        <v>21</v>
      </c>
      <c r="C22" s="3">
        <v>25.7</v>
      </c>
      <c r="D22" s="3">
        <v>192</v>
      </c>
      <c r="E22" s="3">
        <v>6697</v>
      </c>
      <c r="F22" s="3" t="s">
        <v>6</v>
      </c>
    </row>
    <row r="23" spans="1:6" x14ac:dyDescent="0.25">
      <c r="A23" s="2">
        <v>45200</v>
      </c>
      <c r="B23" s="3">
        <v>22</v>
      </c>
      <c r="C23" s="3">
        <v>25</v>
      </c>
      <c r="D23" s="3">
        <v>183</v>
      </c>
      <c r="E23" s="3">
        <v>6756</v>
      </c>
      <c r="F23" s="3" t="s">
        <v>6</v>
      </c>
    </row>
    <row r="24" spans="1:6" x14ac:dyDescent="0.25">
      <c r="A24" s="2">
        <v>45231</v>
      </c>
      <c r="B24" s="3">
        <v>23</v>
      </c>
      <c r="C24" s="3">
        <v>22.4</v>
      </c>
      <c r="D24" s="3">
        <v>131</v>
      </c>
      <c r="E24" s="3">
        <v>6342</v>
      </c>
      <c r="F24" s="3" t="s">
        <v>6</v>
      </c>
    </row>
    <row r="25" spans="1:6" x14ac:dyDescent="0.25">
      <c r="A25" s="2">
        <v>45261</v>
      </c>
      <c r="B25" s="3">
        <v>24</v>
      </c>
      <c r="C25" s="3">
        <v>21.8</v>
      </c>
      <c r="D25" s="3">
        <v>85</v>
      </c>
      <c r="E25" s="3">
        <v>5675</v>
      </c>
      <c r="F25" s="3" t="s">
        <v>6</v>
      </c>
    </row>
    <row r="26" spans="1:6" x14ac:dyDescent="0.25">
      <c r="A26" s="2">
        <v>45292</v>
      </c>
      <c r="B26" s="3">
        <v>25</v>
      </c>
      <c r="C26" s="3">
        <v>21.9</v>
      </c>
      <c r="D26" s="3">
        <v>86</v>
      </c>
      <c r="E26" s="3">
        <v>5920</v>
      </c>
      <c r="F26" s="3" t="s">
        <v>6</v>
      </c>
    </row>
    <row r="27" spans="1:6" x14ac:dyDescent="0.25">
      <c r="A27" s="2">
        <v>45323</v>
      </c>
      <c r="B27" s="3">
        <v>26</v>
      </c>
      <c r="C27" s="3">
        <v>25.1</v>
      </c>
      <c r="D27" s="3">
        <v>64</v>
      </c>
      <c r="E27" s="3">
        <v>5769</v>
      </c>
      <c r="F27" s="3" t="s">
        <v>6</v>
      </c>
    </row>
    <row r="28" spans="1:6" x14ac:dyDescent="0.25">
      <c r="A28" s="2">
        <v>45352</v>
      </c>
      <c r="B28" s="3">
        <v>27</v>
      </c>
      <c r="C28" s="3">
        <v>27.5</v>
      </c>
      <c r="D28" s="3">
        <v>76</v>
      </c>
      <c r="E28" s="3">
        <v>5967</v>
      </c>
      <c r="F28" s="3" t="s">
        <v>6</v>
      </c>
    </row>
    <row r="29" spans="1:6" x14ac:dyDescent="0.25">
      <c r="A29" s="2">
        <v>45383</v>
      </c>
      <c r="B29" s="3">
        <v>28</v>
      </c>
      <c r="C29" s="3">
        <v>29</v>
      </c>
      <c r="D29" s="3">
        <v>101</v>
      </c>
      <c r="E29" s="3">
        <v>6111</v>
      </c>
      <c r="F29" s="3" t="s">
        <v>6</v>
      </c>
    </row>
    <row r="30" spans="1:6" x14ac:dyDescent="0.25">
      <c r="A30" s="2">
        <v>45413</v>
      </c>
      <c r="B30" s="3">
        <v>29</v>
      </c>
      <c r="C30" s="3">
        <v>30.4</v>
      </c>
      <c r="D30" s="3">
        <v>150</v>
      </c>
      <c r="E30" s="3">
        <v>6584</v>
      </c>
      <c r="F30" s="3" t="s">
        <v>6</v>
      </c>
    </row>
    <row r="31" spans="1:6" x14ac:dyDescent="0.25">
      <c r="A31" s="2">
        <v>45444</v>
      </c>
      <c r="B31" s="3">
        <v>30</v>
      </c>
      <c r="C31" s="3">
        <v>32</v>
      </c>
      <c r="D31" s="3">
        <v>186</v>
      </c>
      <c r="E31" s="3">
        <v>7090</v>
      </c>
      <c r="F31" s="3" t="s">
        <v>6</v>
      </c>
    </row>
    <row r="32" spans="1:6" x14ac:dyDescent="0.25">
      <c r="A32" s="2">
        <v>45474</v>
      </c>
      <c r="B32" s="3">
        <v>31</v>
      </c>
      <c r="C32" s="3">
        <v>31.9</v>
      </c>
      <c r="D32" s="3">
        <v>203</v>
      </c>
      <c r="E32" s="3">
        <v>7158</v>
      </c>
      <c r="F32" s="3" t="s">
        <v>6</v>
      </c>
    </row>
    <row r="33" spans="1:6" x14ac:dyDescent="0.25">
      <c r="A33" s="2">
        <v>45505</v>
      </c>
      <c r="B33" s="3">
        <v>32</v>
      </c>
      <c r="C33" s="3">
        <v>29.4</v>
      </c>
      <c r="D33" s="3">
        <v>190</v>
      </c>
      <c r="E33" s="3">
        <v>6932</v>
      </c>
      <c r="F33" s="3" t="s">
        <v>6</v>
      </c>
    </row>
    <row r="34" spans="1:6" x14ac:dyDescent="0.25">
      <c r="A34" s="2">
        <v>45536</v>
      </c>
      <c r="B34" s="3">
        <v>33</v>
      </c>
      <c r="C34" s="3">
        <v>25.9</v>
      </c>
      <c r="D34" s="3">
        <v>192</v>
      </c>
      <c r="E34" s="3">
        <v>7272</v>
      </c>
      <c r="F34" s="3" t="s">
        <v>6</v>
      </c>
    </row>
    <row r="35" spans="1:6" x14ac:dyDescent="0.25">
      <c r="A35" s="2">
        <v>45566</v>
      </c>
      <c r="B35" s="3">
        <v>34</v>
      </c>
      <c r="C35" s="3">
        <v>23.8</v>
      </c>
      <c r="D35" s="3">
        <v>176</v>
      </c>
      <c r="E35" s="3">
        <v>7308</v>
      </c>
      <c r="F35" s="3" t="s">
        <v>6</v>
      </c>
    </row>
    <row r="36" spans="1:6" x14ac:dyDescent="0.25">
      <c r="A36" s="2">
        <v>45597</v>
      </c>
      <c r="B36" s="3">
        <v>35</v>
      </c>
      <c r="C36" s="3">
        <v>22.4</v>
      </c>
      <c r="D36" s="3">
        <v>159</v>
      </c>
      <c r="E36" s="3">
        <v>6865</v>
      </c>
      <c r="F36" s="3" t="s">
        <v>6</v>
      </c>
    </row>
    <row r="37" spans="1:6" x14ac:dyDescent="0.25">
      <c r="A37" s="2">
        <v>45627</v>
      </c>
      <c r="B37" s="3">
        <v>36</v>
      </c>
      <c r="C37" s="3">
        <v>21.8</v>
      </c>
      <c r="D37" s="3">
        <v>99</v>
      </c>
      <c r="E37" s="3">
        <v>6460</v>
      </c>
      <c r="F37" s="3" t="s">
        <v>6</v>
      </c>
    </row>
    <row r="38" spans="1:6" x14ac:dyDescent="0.25">
      <c r="A38" s="2">
        <v>45658</v>
      </c>
      <c r="B38" s="3">
        <v>37</v>
      </c>
      <c r="C38" s="3">
        <v>23.3</v>
      </c>
      <c r="D38" s="3">
        <v>63</v>
      </c>
      <c r="E38" s="3">
        <v>6297</v>
      </c>
      <c r="F38" s="3" t="s">
        <v>7</v>
      </c>
    </row>
    <row r="39" spans="1:6" x14ac:dyDescent="0.25">
      <c r="A39" s="2">
        <v>45689</v>
      </c>
      <c r="B39" s="3">
        <v>38</v>
      </c>
      <c r="C39" s="3">
        <v>24.7</v>
      </c>
      <c r="D39" s="3">
        <v>71</v>
      </c>
      <c r="E39" s="3">
        <v>6132</v>
      </c>
      <c r="F39" s="3" t="s">
        <v>7</v>
      </c>
    </row>
    <row r="40" spans="1:6" x14ac:dyDescent="0.25">
      <c r="A40" s="2">
        <v>45717</v>
      </c>
      <c r="B40" s="3">
        <v>39</v>
      </c>
      <c r="C40" s="3">
        <v>27.1</v>
      </c>
      <c r="D40" s="3">
        <v>82</v>
      </c>
      <c r="E40" s="3">
        <v>6527</v>
      </c>
      <c r="F40" s="3" t="s">
        <v>7</v>
      </c>
    </row>
    <row r="41" spans="1:6" x14ac:dyDescent="0.25">
      <c r="A41" s="2">
        <v>45748</v>
      </c>
      <c r="B41" s="3">
        <v>40</v>
      </c>
      <c r="C41" s="3">
        <v>29.5</v>
      </c>
      <c r="D41" s="3">
        <v>141</v>
      </c>
      <c r="E41" s="3">
        <v>7033</v>
      </c>
      <c r="F41" s="3" t="s">
        <v>7</v>
      </c>
    </row>
    <row r="42" spans="1:6" x14ac:dyDescent="0.25">
      <c r="A42" s="2">
        <v>45778</v>
      </c>
      <c r="B42" s="3">
        <v>41</v>
      </c>
      <c r="C42" s="3">
        <v>30.5</v>
      </c>
      <c r="D42" s="3">
        <v>155</v>
      </c>
      <c r="E42" s="3">
        <v>7272</v>
      </c>
      <c r="F42" s="3" t="s">
        <v>7</v>
      </c>
    </row>
    <row r="43" spans="1:6" x14ac:dyDescent="0.25">
      <c r="A43" s="2">
        <v>45809</v>
      </c>
      <c r="B43" s="3">
        <v>42</v>
      </c>
      <c r="C43" s="3">
        <v>33.1</v>
      </c>
      <c r="D43" s="3">
        <v>201</v>
      </c>
      <c r="E43" s="3">
        <v>7752</v>
      </c>
      <c r="F43" s="3" t="s">
        <v>7</v>
      </c>
    </row>
    <row r="44" spans="1:6" x14ac:dyDescent="0.25">
      <c r="A44" s="2">
        <v>45839</v>
      </c>
      <c r="B44" s="3">
        <v>43</v>
      </c>
      <c r="C44" s="3">
        <v>32.5</v>
      </c>
      <c r="D44" s="3">
        <v>197</v>
      </c>
      <c r="E44" s="3">
        <v>7612</v>
      </c>
      <c r="F44" s="3" t="s">
        <v>7</v>
      </c>
    </row>
    <row r="45" spans="1:6" x14ac:dyDescent="0.25">
      <c r="A45" s="2">
        <v>45870</v>
      </c>
      <c r="B45" s="3">
        <v>44</v>
      </c>
      <c r="C45" s="3">
        <v>28.8</v>
      </c>
      <c r="D45" s="3">
        <v>219</v>
      </c>
      <c r="E45" s="3">
        <v>7744</v>
      </c>
      <c r="F45" s="3" t="s">
        <v>7</v>
      </c>
    </row>
    <row r="46" spans="1:6" x14ac:dyDescent="0.25">
      <c r="A46" s="2">
        <v>45901</v>
      </c>
      <c r="B46" s="3">
        <v>45</v>
      </c>
      <c r="C46" s="3">
        <v>27.5</v>
      </c>
      <c r="D46" s="3">
        <v>213</v>
      </c>
      <c r="E46" s="3">
        <v>7721</v>
      </c>
      <c r="F46" s="3" t="s">
        <v>7</v>
      </c>
    </row>
    <row r="47" spans="1:6" x14ac:dyDescent="0.25">
      <c r="A47" s="2">
        <v>45931</v>
      </c>
      <c r="B47" s="3">
        <v>46</v>
      </c>
      <c r="C47" s="3">
        <v>23.7</v>
      </c>
      <c r="D47" s="3">
        <v>196</v>
      </c>
      <c r="E47" s="3">
        <v>7959</v>
      </c>
      <c r="F47" s="3" t="s">
        <v>7</v>
      </c>
    </row>
    <row r="48" spans="1:6" x14ac:dyDescent="0.25">
      <c r="A48" s="2">
        <v>45962</v>
      </c>
      <c r="B48" s="3">
        <v>47</v>
      </c>
      <c r="C48" s="3">
        <v>24.3</v>
      </c>
      <c r="D48" s="3">
        <v>201</v>
      </c>
      <c r="E48" s="3">
        <v>7986</v>
      </c>
      <c r="F48" s="3" t="s">
        <v>7</v>
      </c>
    </row>
    <row r="49" spans="1:6" x14ac:dyDescent="0.25">
      <c r="A49" s="2">
        <v>45992</v>
      </c>
      <c r="B49" s="3">
        <v>48</v>
      </c>
      <c r="C49" s="3">
        <v>21.2</v>
      </c>
      <c r="D49" s="3">
        <v>91</v>
      </c>
      <c r="E49" s="3">
        <v>7019</v>
      </c>
      <c r="F49" s="3" t="s">
        <v>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22E5-C0F1-42F4-B3DD-5F171611BD8D}">
  <dimension ref="A1:L49"/>
  <sheetViews>
    <sheetView tabSelected="1" topLeftCell="A34" workbookViewId="0">
      <selection activeCell="S49" sqref="S49"/>
    </sheetView>
  </sheetViews>
  <sheetFormatPr defaultRowHeight="15" x14ac:dyDescent="0.25"/>
  <sheetData>
    <row r="1" spans="1:12" x14ac:dyDescent="0.25">
      <c r="A1" t="s">
        <v>1</v>
      </c>
      <c r="B1" t="s">
        <v>3</v>
      </c>
      <c r="C1" t="s">
        <v>4</v>
      </c>
      <c r="D1" t="s">
        <v>56</v>
      </c>
      <c r="E1" t="s">
        <v>58</v>
      </c>
      <c r="F1" t="s">
        <v>59</v>
      </c>
      <c r="G1" t="s">
        <v>53</v>
      </c>
      <c r="I1" t="s">
        <v>0</v>
      </c>
    </row>
    <row r="2" spans="1:12" x14ac:dyDescent="0.25">
      <c r="A2">
        <f>Data!B2</f>
        <v>1</v>
      </c>
      <c r="B2">
        <f>Data!D2</f>
        <v>44</v>
      </c>
      <c r="C2">
        <f>Data!E2</f>
        <v>4553</v>
      </c>
      <c r="D2" s="10">
        <f>$H$2+$H$3*A2+$H$4*B2</f>
        <v>146283.78865309348</v>
      </c>
      <c r="G2" t="s">
        <v>38</v>
      </c>
      <c r="H2">
        <f>Regression_Output!B17</f>
        <v>142016.4987146591</v>
      </c>
    </row>
    <row r="3" spans="1:12" x14ac:dyDescent="0.25">
      <c r="A3">
        <f>Data!B3</f>
        <v>2</v>
      </c>
      <c r="B3">
        <f>Data!D3</f>
        <v>40</v>
      </c>
      <c r="C3">
        <f>Data!E3</f>
        <v>4254</v>
      </c>
      <c r="D3" s="10">
        <f t="shared" ref="D3:D49" si="0">$H$2+$H$3*A3+$H$4*B3</f>
        <v>145892.37475436248</v>
      </c>
      <c r="G3" t="s">
        <v>54</v>
      </c>
      <c r="H3">
        <f>Regression_Output!B18</f>
        <v>-3.1885789672068561</v>
      </c>
    </row>
    <row r="4" spans="1:12" x14ac:dyDescent="0.25">
      <c r="A4">
        <f>Data!B4</f>
        <v>3</v>
      </c>
      <c r="B4">
        <f>Data!D4</f>
        <v>57</v>
      </c>
      <c r="C4">
        <f>Data!E4</f>
        <v>4645</v>
      </c>
      <c r="D4" s="10">
        <f t="shared" si="0"/>
        <v>147539.14378439134</v>
      </c>
      <c r="G4" t="s">
        <v>55</v>
      </c>
      <c r="H4">
        <f>Regression_Output!B19</f>
        <v>97.05632994094492</v>
      </c>
    </row>
    <row r="5" spans="1:12" x14ac:dyDescent="0.25">
      <c r="A5">
        <f>Data!B5</f>
        <v>4</v>
      </c>
      <c r="B5">
        <f>Data!D5</f>
        <v>101</v>
      </c>
      <c r="C5">
        <f>Data!E5</f>
        <v>5205</v>
      </c>
      <c r="D5" s="10">
        <f t="shared" si="0"/>
        <v>151806.43372282569</v>
      </c>
    </row>
    <row r="6" spans="1:12" x14ac:dyDescent="0.25">
      <c r="A6">
        <f>Data!B6</f>
        <v>5</v>
      </c>
      <c r="B6">
        <f>Data!D6</f>
        <v>140</v>
      </c>
      <c r="C6">
        <f>Data!E6</f>
        <v>5555</v>
      </c>
      <c r="D6" s="10">
        <f t="shared" si="0"/>
        <v>155588.44201155534</v>
      </c>
      <c r="L6" t="s">
        <v>57</v>
      </c>
    </row>
    <row r="7" spans="1:12" x14ac:dyDescent="0.25">
      <c r="A7">
        <f>Data!B7</f>
        <v>6</v>
      </c>
      <c r="B7">
        <f>Data!D7</f>
        <v>165</v>
      </c>
      <c r="C7">
        <f>Data!E7</f>
        <v>5611</v>
      </c>
      <c r="D7" s="10">
        <f t="shared" si="0"/>
        <v>158011.66168111176</v>
      </c>
      <c r="G7" t="s">
        <v>60</v>
      </c>
      <c r="H7" t="s">
        <v>62</v>
      </c>
    </row>
    <row r="8" spans="1:12" x14ac:dyDescent="0.25">
      <c r="A8">
        <f>Data!B8</f>
        <v>7</v>
      </c>
      <c r="B8">
        <f>Data!D8</f>
        <v>185</v>
      </c>
      <c r="C8">
        <f>Data!E8</f>
        <v>5952</v>
      </c>
      <c r="D8" s="10">
        <f t="shared" si="0"/>
        <v>159949.59970096344</v>
      </c>
      <c r="G8" t="s">
        <v>61</v>
      </c>
      <c r="H8">
        <f>AVERAGE(E38:E49)</f>
        <v>149427.57442454691</v>
      </c>
    </row>
    <row r="9" spans="1:12" x14ac:dyDescent="0.25">
      <c r="A9">
        <f>Data!B9</f>
        <v>8</v>
      </c>
      <c r="B9">
        <f>Data!D9</f>
        <v>214</v>
      </c>
      <c r="C9">
        <f>Data!E9</f>
        <v>6262</v>
      </c>
      <c r="D9" s="10">
        <f t="shared" si="0"/>
        <v>162761.04469028368</v>
      </c>
      <c r="G9" t="s">
        <v>63</v>
      </c>
      <c r="H9">
        <f>SQRT(SUMXMY2(C38:C49,D38:D49)/12)</f>
        <v>149511.91980543413</v>
      </c>
    </row>
    <row r="10" spans="1:12" x14ac:dyDescent="0.25">
      <c r="A10">
        <f>Data!B10</f>
        <v>9</v>
      </c>
      <c r="B10">
        <f>Data!D10</f>
        <v>182</v>
      </c>
      <c r="C10">
        <f>Data!E10</f>
        <v>6122</v>
      </c>
      <c r="D10" s="10">
        <f t="shared" si="0"/>
        <v>159652.05355320623</v>
      </c>
      <c r="G10" t="s">
        <v>64</v>
      </c>
      <c r="H10" s="12">
        <f>AVERAGE(F38:F49)</f>
        <v>20.700706464580083</v>
      </c>
    </row>
    <row r="11" spans="1:12" x14ac:dyDescent="0.25">
      <c r="A11">
        <f>Data!B11</f>
        <v>10</v>
      </c>
      <c r="B11">
        <f>Data!D11</f>
        <v>169</v>
      </c>
      <c r="C11">
        <f>Data!E11</f>
        <v>6035</v>
      </c>
      <c r="D11" s="10">
        <f t="shared" si="0"/>
        <v>158387.13268500674</v>
      </c>
    </row>
    <row r="12" spans="1:12" x14ac:dyDescent="0.25">
      <c r="A12">
        <f>Data!B12</f>
        <v>11</v>
      </c>
      <c r="B12">
        <f>Data!D12</f>
        <v>122</v>
      </c>
      <c r="C12">
        <f>Data!E12</f>
        <v>5516</v>
      </c>
      <c r="D12" s="10">
        <f t="shared" si="0"/>
        <v>153822.29659881513</v>
      </c>
    </row>
    <row r="13" spans="1:12" x14ac:dyDescent="0.25">
      <c r="A13">
        <f>Data!B13</f>
        <v>12</v>
      </c>
      <c r="B13">
        <f>Data!D13</f>
        <v>103</v>
      </c>
      <c r="C13">
        <f>Data!E13</f>
        <v>5636</v>
      </c>
      <c r="D13" s="10">
        <f t="shared" si="0"/>
        <v>151975.03775096996</v>
      </c>
    </row>
    <row r="14" spans="1:12" x14ac:dyDescent="0.25">
      <c r="A14">
        <f>Data!B14</f>
        <v>13</v>
      </c>
      <c r="B14">
        <f>Data!D14</f>
        <v>57</v>
      </c>
      <c r="C14">
        <f>Data!E14</f>
        <v>4974</v>
      </c>
      <c r="D14" s="10">
        <f t="shared" si="0"/>
        <v>147507.25799471929</v>
      </c>
    </row>
    <row r="15" spans="1:12" x14ac:dyDescent="0.25">
      <c r="A15">
        <f>Data!B15</f>
        <v>14</v>
      </c>
      <c r="B15">
        <f>Data!D15</f>
        <v>72</v>
      </c>
      <c r="C15">
        <f>Data!E15</f>
        <v>5359</v>
      </c>
      <c r="D15" s="10">
        <f t="shared" si="0"/>
        <v>148959.91436486624</v>
      </c>
    </row>
    <row r="16" spans="1:12" x14ac:dyDescent="0.25">
      <c r="A16">
        <f>Data!B16</f>
        <v>15</v>
      </c>
      <c r="B16">
        <f>Data!D16</f>
        <v>74</v>
      </c>
      <c r="C16">
        <f>Data!E16</f>
        <v>5358</v>
      </c>
      <c r="D16" s="10">
        <f t="shared" si="0"/>
        <v>149150.83844578092</v>
      </c>
    </row>
    <row r="17" spans="1:4" x14ac:dyDescent="0.25">
      <c r="A17">
        <f>Data!B17</f>
        <v>16</v>
      </c>
      <c r="B17">
        <f>Data!D17</f>
        <v>110</v>
      </c>
      <c r="C17">
        <f>Data!E17</f>
        <v>5743</v>
      </c>
      <c r="D17" s="10">
        <f t="shared" si="0"/>
        <v>152641.67774468774</v>
      </c>
    </row>
    <row r="18" spans="1:4" x14ac:dyDescent="0.25">
      <c r="A18">
        <f>Data!B18</f>
        <v>17</v>
      </c>
      <c r="B18">
        <f>Data!D18</f>
        <v>134</v>
      </c>
      <c r="C18">
        <f>Data!E18</f>
        <v>6014</v>
      </c>
      <c r="D18" s="10">
        <f t="shared" si="0"/>
        <v>154967.84108430319</v>
      </c>
    </row>
    <row r="19" spans="1:4" x14ac:dyDescent="0.25">
      <c r="A19">
        <f>Data!B19</f>
        <v>18</v>
      </c>
      <c r="B19">
        <f>Data!D19</f>
        <v>147</v>
      </c>
      <c r="C19">
        <f>Data!E19</f>
        <v>6085</v>
      </c>
      <c r="D19" s="10">
        <f t="shared" si="0"/>
        <v>156226.38479456826</v>
      </c>
    </row>
    <row r="20" spans="1:4" x14ac:dyDescent="0.25">
      <c r="A20">
        <f>Data!B20</f>
        <v>19</v>
      </c>
      <c r="B20">
        <f>Data!D20</f>
        <v>186</v>
      </c>
      <c r="C20">
        <f>Data!E20</f>
        <v>6487</v>
      </c>
      <c r="D20" s="10">
        <f t="shared" si="0"/>
        <v>160008.39308329791</v>
      </c>
    </row>
    <row r="21" spans="1:4" x14ac:dyDescent="0.25">
      <c r="A21">
        <f>Data!B21</f>
        <v>20</v>
      </c>
      <c r="B21">
        <f>Data!D21</f>
        <v>193</v>
      </c>
      <c r="C21">
        <f>Data!E21</f>
        <v>6782</v>
      </c>
      <c r="D21" s="10">
        <f t="shared" si="0"/>
        <v>160684.59881391731</v>
      </c>
    </row>
    <row r="22" spans="1:4" x14ac:dyDescent="0.25">
      <c r="A22">
        <f>Data!B22</f>
        <v>21</v>
      </c>
      <c r="B22">
        <f>Data!D22</f>
        <v>192</v>
      </c>
      <c r="C22">
        <f>Data!E22</f>
        <v>6697</v>
      </c>
      <c r="D22" s="10">
        <f t="shared" si="0"/>
        <v>160584.35390500916</v>
      </c>
    </row>
    <row r="23" spans="1:4" x14ac:dyDescent="0.25">
      <c r="A23">
        <f>Data!B23</f>
        <v>22</v>
      </c>
      <c r="B23">
        <f>Data!D23</f>
        <v>183</v>
      </c>
      <c r="C23">
        <f>Data!E23</f>
        <v>6756</v>
      </c>
      <c r="D23" s="10">
        <f t="shared" si="0"/>
        <v>159707.65835657346</v>
      </c>
    </row>
    <row r="24" spans="1:4" x14ac:dyDescent="0.25">
      <c r="A24">
        <f>Data!B24</f>
        <v>23</v>
      </c>
      <c r="B24">
        <f>Data!D24</f>
        <v>131</v>
      </c>
      <c r="C24">
        <f>Data!E24</f>
        <v>6342</v>
      </c>
      <c r="D24" s="10">
        <f t="shared" si="0"/>
        <v>154657.54062067711</v>
      </c>
    </row>
    <row r="25" spans="1:4" x14ac:dyDescent="0.25">
      <c r="A25">
        <f>Data!B25</f>
        <v>24</v>
      </c>
      <c r="B25">
        <f>Data!D25</f>
        <v>85</v>
      </c>
      <c r="C25">
        <f>Data!E25</f>
        <v>5675</v>
      </c>
      <c r="D25" s="10">
        <f t="shared" si="0"/>
        <v>150189.76086442647</v>
      </c>
    </row>
    <row r="26" spans="1:4" x14ac:dyDescent="0.25">
      <c r="A26">
        <f>Data!B26</f>
        <v>25</v>
      </c>
      <c r="B26">
        <f>Data!D26</f>
        <v>86</v>
      </c>
      <c r="C26">
        <f>Data!E26</f>
        <v>5920</v>
      </c>
      <c r="D26" s="10">
        <f t="shared" si="0"/>
        <v>150283.6286154002</v>
      </c>
    </row>
    <row r="27" spans="1:4" x14ac:dyDescent="0.25">
      <c r="A27">
        <f>Data!B27</f>
        <v>26</v>
      </c>
      <c r="B27">
        <f>Data!D27</f>
        <v>64</v>
      </c>
      <c r="C27">
        <f>Data!E27</f>
        <v>5769</v>
      </c>
      <c r="D27" s="10">
        <f t="shared" si="0"/>
        <v>148145.20077773221</v>
      </c>
    </row>
    <row r="28" spans="1:4" x14ac:dyDescent="0.25">
      <c r="A28">
        <f>Data!B28</f>
        <v>27</v>
      </c>
      <c r="B28">
        <f>Data!D28</f>
        <v>76</v>
      </c>
      <c r="C28">
        <f>Data!E28</f>
        <v>5967</v>
      </c>
      <c r="D28" s="10">
        <f t="shared" si="0"/>
        <v>149306.68815805635</v>
      </c>
    </row>
    <row r="29" spans="1:4" x14ac:dyDescent="0.25">
      <c r="A29">
        <f>Data!B29</f>
        <v>28</v>
      </c>
      <c r="B29">
        <f>Data!D29</f>
        <v>101</v>
      </c>
      <c r="C29">
        <f>Data!E29</f>
        <v>6111</v>
      </c>
      <c r="D29" s="10">
        <f t="shared" si="0"/>
        <v>151729.90782761274</v>
      </c>
    </row>
    <row r="30" spans="1:4" x14ac:dyDescent="0.25">
      <c r="A30">
        <f>Data!B30</f>
        <v>29</v>
      </c>
      <c r="B30">
        <f>Data!D30</f>
        <v>150</v>
      </c>
      <c r="C30">
        <f>Data!E30</f>
        <v>6584</v>
      </c>
      <c r="D30" s="10">
        <f t="shared" si="0"/>
        <v>156482.47941575185</v>
      </c>
    </row>
    <row r="31" spans="1:4" x14ac:dyDescent="0.25">
      <c r="A31">
        <f>Data!B31</f>
        <v>30</v>
      </c>
      <c r="B31">
        <f>Data!D31</f>
        <v>186</v>
      </c>
      <c r="C31">
        <f>Data!E31</f>
        <v>7090</v>
      </c>
      <c r="D31" s="10">
        <f t="shared" si="0"/>
        <v>159973.31871465864</v>
      </c>
    </row>
    <row r="32" spans="1:4" x14ac:dyDescent="0.25">
      <c r="A32">
        <f>Data!B32</f>
        <v>31</v>
      </c>
      <c r="B32">
        <f>Data!D32</f>
        <v>203</v>
      </c>
      <c r="C32">
        <f>Data!E32</f>
        <v>7158</v>
      </c>
      <c r="D32" s="10">
        <f t="shared" si="0"/>
        <v>161620.08774468751</v>
      </c>
    </row>
    <row r="33" spans="1:9" x14ac:dyDescent="0.25">
      <c r="A33">
        <f>Data!B33</f>
        <v>32</v>
      </c>
      <c r="B33">
        <f>Data!D33</f>
        <v>190</v>
      </c>
      <c r="C33">
        <f>Data!E33</f>
        <v>6932</v>
      </c>
      <c r="D33" s="10">
        <f t="shared" si="0"/>
        <v>160355.16687648802</v>
      </c>
    </row>
    <row r="34" spans="1:9" x14ac:dyDescent="0.25">
      <c r="A34">
        <f>Data!B34</f>
        <v>33</v>
      </c>
      <c r="B34">
        <f>Data!D34</f>
        <v>192</v>
      </c>
      <c r="C34">
        <f>Data!E34</f>
        <v>7272</v>
      </c>
      <c r="D34" s="10">
        <f t="shared" si="0"/>
        <v>160546.09095740269</v>
      </c>
    </row>
    <row r="35" spans="1:9" x14ac:dyDescent="0.25">
      <c r="A35">
        <f>Data!B35</f>
        <v>34</v>
      </c>
      <c r="B35">
        <f>Data!D35</f>
        <v>176</v>
      </c>
      <c r="C35">
        <f>Data!E35</f>
        <v>7308</v>
      </c>
      <c r="D35" s="10">
        <f t="shared" si="0"/>
        <v>158990.00109938037</v>
      </c>
    </row>
    <row r="36" spans="1:9" x14ac:dyDescent="0.25">
      <c r="A36">
        <f>Data!B36</f>
        <v>35</v>
      </c>
      <c r="B36">
        <f>Data!D36</f>
        <v>159</v>
      </c>
      <c r="C36">
        <f>Data!E36</f>
        <v>6865</v>
      </c>
      <c r="D36" s="10">
        <f t="shared" si="0"/>
        <v>157336.85491141709</v>
      </c>
    </row>
    <row r="37" spans="1:9" x14ac:dyDescent="0.25">
      <c r="A37">
        <f>Data!B37</f>
        <v>36</v>
      </c>
      <c r="B37">
        <f>Data!D37</f>
        <v>99</v>
      </c>
      <c r="C37">
        <f>Data!E37</f>
        <v>6460</v>
      </c>
      <c r="D37" s="10">
        <f t="shared" si="0"/>
        <v>151510.28653599319</v>
      </c>
    </row>
    <row r="38" spans="1:9" x14ac:dyDescent="0.25">
      <c r="A38">
        <f>Data!B38</f>
        <v>37</v>
      </c>
      <c r="B38">
        <f>Data!D38</f>
        <v>63</v>
      </c>
      <c r="C38">
        <f>Data!E38</f>
        <v>6297</v>
      </c>
      <c r="D38" s="10">
        <f t="shared" si="0"/>
        <v>148013.07007915198</v>
      </c>
      <c r="E38">
        <f>ABS(C38-D38)</f>
        <v>141716.07007915198</v>
      </c>
      <c r="F38" s="11">
        <f>E38/C38</f>
        <v>22.505331122622199</v>
      </c>
      <c r="I38" s="13">
        <f>Data!A38</f>
        <v>45658</v>
      </c>
    </row>
    <row r="39" spans="1:9" x14ac:dyDescent="0.25">
      <c r="A39">
        <f>Data!B39</f>
        <v>38</v>
      </c>
      <c r="B39">
        <f>Data!D39</f>
        <v>71</v>
      </c>
      <c r="C39">
        <f>Data!E39</f>
        <v>6132</v>
      </c>
      <c r="D39" s="10">
        <f t="shared" si="0"/>
        <v>148786.33213971232</v>
      </c>
      <c r="E39">
        <f t="shared" ref="E39:E49" si="1">ABS(C39-D39)</f>
        <v>142654.33213971232</v>
      </c>
      <c r="F39" s="11">
        <f t="shared" ref="F39:F49" si="2">E39/C39</f>
        <v>23.263915874056153</v>
      </c>
      <c r="I39" s="13">
        <f>Data!A39</f>
        <v>45689</v>
      </c>
    </row>
    <row r="40" spans="1:9" x14ac:dyDescent="0.25">
      <c r="A40">
        <f>Data!B40</f>
        <v>39</v>
      </c>
      <c r="B40">
        <f>Data!D40</f>
        <v>82</v>
      </c>
      <c r="C40">
        <f>Data!E40</f>
        <v>6527</v>
      </c>
      <c r="D40" s="10">
        <f t="shared" si="0"/>
        <v>149850.76319009555</v>
      </c>
      <c r="E40">
        <f t="shared" si="1"/>
        <v>143323.76319009555</v>
      </c>
      <c r="F40" s="11">
        <f t="shared" si="2"/>
        <v>21.958597087497402</v>
      </c>
      <c r="I40" s="13">
        <f>Data!A40</f>
        <v>45717</v>
      </c>
    </row>
    <row r="41" spans="1:9" x14ac:dyDescent="0.25">
      <c r="A41">
        <f>Data!B41</f>
        <v>40</v>
      </c>
      <c r="B41">
        <f>Data!D41</f>
        <v>141</v>
      </c>
      <c r="C41">
        <f>Data!E41</f>
        <v>7033</v>
      </c>
      <c r="D41" s="10">
        <f t="shared" si="0"/>
        <v>155573.89807764406</v>
      </c>
      <c r="E41">
        <f t="shared" si="1"/>
        <v>148540.89807764406</v>
      </c>
      <c r="F41" s="11">
        <f t="shared" si="2"/>
        <v>21.120559942790283</v>
      </c>
      <c r="I41" s="13">
        <f>Data!A41</f>
        <v>45748</v>
      </c>
    </row>
    <row r="42" spans="1:9" x14ac:dyDescent="0.25">
      <c r="A42">
        <f>Data!B42</f>
        <v>41</v>
      </c>
      <c r="B42">
        <f>Data!D42</f>
        <v>155</v>
      </c>
      <c r="C42">
        <f>Data!E42</f>
        <v>7272</v>
      </c>
      <c r="D42" s="10">
        <f t="shared" si="0"/>
        <v>156929.4981178501</v>
      </c>
      <c r="E42">
        <f t="shared" si="1"/>
        <v>149657.4981178501</v>
      </c>
      <c r="F42" s="11">
        <f t="shared" si="2"/>
        <v>20.579963987603151</v>
      </c>
      <c r="I42" s="13">
        <f>Data!A42</f>
        <v>45778</v>
      </c>
    </row>
    <row r="43" spans="1:9" x14ac:dyDescent="0.25">
      <c r="A43">
        <f>Data!B43</f>
        <v>42</v>
      </c>
      <c r="B43">
        <f>Data!D43</f>
        <v>201</v>
      </c>
      <c r="C43">
        <f>Data!E43</f>
        <v>7752</v>
      </c>
      <c r="D43" s="10">
        <f t="shared" si="0"/>
        <v>161390.90071616636</v>
      </c>
      <c r="E43">
        <f t="shared" si="1"/>
        <v>153638.90071616636</v>
      </c>
      <c r="F43" s="11">
        <f t="shared" si="2"/>
        <v>19.819259638308353</v>
      </c>
      <c r="I43" s="13">
        <f>Data!A43</f>
        <v>45809</v>
      </c>
    </row>
    <row r="44" spans="1:9" x14ac:dyDescent="0.25">
      <c r="A44">
        <f>Data!B44</f>
        <v>43</v>
      </c>
      <c r="B44">
        <f>Data!D44</f>
        <v>197</v>
      </c>
      <c r="C44">
        <f>Data!E44</f>
        <v>7612</v>
      </c>
      <c r="D44" s="10">
        <f t="shared" si="0"/>
        <v>160999.48681743536</v>
      </c>
      <c r="E44">
        <f t="shared" si="1"/>
        <v>153387.48681743536</v>
      </c>
      <c r="F44" s="11">
        <f t="shared" si="2"/>
        <v>20.150747085842795</v>
      </c>
      <c r="I44" s="13">
        <f>Data!A44</f>
        <v>45839</v>
      </c>
    </row>
    <row r="45" spans="1:9" x14ac:dyDescent="0.25">
      <c r="A45">
        <f>Data!B45</f>
        <v>44</v>
      </c>
      <c r="B45">
        <f>Data!D45</f>
        <v>219</v>
      </c>
      <c r="C45">
        <f>Data!E45</f>
        <v>7744</v>
      </c>
      <c r="D45" s="10">
        <f t="shared" si="0"/>
        <v>163131.53749716893</v>
      </c>
      <c r="E45">
        <f t="shared" si="1"/>
        <v>155387.53749716893</v>
      </c>
      <c r="F45" s="11">
        <f t="shared" si="2"/>
        <v>20.065539449531112</v>
      </c>
      <c r="I45" s="13">
        <f>Data!A45</f>
        <v>45870</v>
      </c>
    </row>
    <row r="46" spans="1:9" x14ac:dyDescent="0.25">
      <c r="A46">
        <f>Data!B46</f>
        <v>45</v>
      </c>
      <c r="B46">
        <f>Data!D46</f>
        <v>213</v>
      </c>
      <c r="C46">
        <f>Data!E46</f>
        <v>7721</v>
      </c>
      <c r="D46" s="10">
        <f t="shared" si="0"/>
        <v>162546.01093855605</v>
      </c>
      <c r="E46">
        <f t="shared" si="1"/>
        <v>154825.01093855605</v>
      </c>
      <c r="F46" s="11">
        <f t="shared" si="2"/>
        <v>20.052455762019953</v>
      </c>
      <c r="I46" s="13">
        <f>Data!A46</f>
        <v>45901</v>
      </c>
    </row>
    <row r="47" spans="1:9" x14ac:dyDescent="0.25">
      <c r="A47">
        <f>Data!B47</f>
        <v>46</v>
      </c>
      <c r="B47">
        <f>Data!D47</f>
        <v>196</v>
      </c>
      <c r="C47">
        <f>Data!E47</f>
        <v>7959</v>
      </c>
      <c r="D47" s="10">
        <f t="shared" si="0"/>
        <v>160892.86475059279</v>
      </c>
      <c r="E47">
        <f t="shared" si="1"/>
        <v>152933.86475059279</v>
      </c>
      <c r="F47" s="11">
        <f t="shared" si="2"/>
        <v>19.215211050457697</v>
      </c>
      <c r="I47" s="13">
        <f>Data!A47</f>
        <v>45931</v>
      </c>
    </row>
    <row r="48" spans="1:9" x14ac:dyDescent="0.25">
      <c r="A48">
        <f>Data!B48</f>
        <v>47</v>
      </c>
      <c r="B48">
        <f>Data!D48</f>
        <v>201</v>
      </c>
      <c r="C48">
        <f>Data!E48</f>
        <v>7986</v>
      </c>
      <c r="D48" s="10">
        <f t="shared" si="0"/>
        <v>161374.95782133032</v>
      </c>
      <c r="E48">
        <f t="shared" si="1"/>
        <v>153388.95782133032</v>
      </c>
      <c r="F48" s="11">
        <f t="shared" si="2"/>
        <v>19.207232384338884</v>
      </c>
      <c r="I48" s="13">
        <f>Data!A48</f>
        <v>45962</v>
      </c>
    </row>
    <row r="49" spans="1:9" x14ac:dyDescent="0.25">
      <c r="A49">
        <f>Data!B49</f>
        <v>48</v>
      </c>
      <c r="B49">
        <f>Data!D49</f>
        <v>91</v>
      </c>
      <c r="C49">
        <f>Data!E49</f>
        <v>7019</v>
      </c>
      <c r="D49" s="10">
        <f t="shared" si="0"/>
        <v>150695.57294885916</v>
      </c>
      <c r="E49">
        <f t="shared" si="1"/>
        <v>143676.57294885916</v>
      </c>
      <c r="F49" s="11">
        <f t="shared" si="2"/>
        <v>20.469664189893027</v>
      </c>
      <c r="I49" s="13">
        <f>Data!A49</f>
        <v>45992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3A9B-F56F-4471-B554-F791500EB9B5}">
  <dimension ref="A1:B4"/>
  <sheetViews>
    <sheetView workbookViewId="0">
      <selection activeCell="J4" sqref="J4"/>
    </sheetView>
  </sheetViews>
  <sheetFormatPr defaultRowHeight="15" x14ac:dyDescent="0.25"/>
  <sheetData>
    <row r="1" spans="1:2" x14ac:dyDescent="0.25">
      <c r="A1" t="s">
        <v>24</v>
      </c>
      <c r="B1" t="s">
        <v>25</v>
      </c>
    </row>
    <row r="2" spans="1:2" x14ac:dyDescent="0.25">
      <c r="A2" t="s">
        <v>1</v>
      </c>
      <c r="B2" s="5">
        <f>CORREL(Data!B2:B49,Data!E2:E49)</f>
        <v>0.84761909212038067</v>
      </c>
    </row>
    <row r="3" spans="1:2" x14ac:dyDescent="0.25">
      <c r="A3" t="s">
        <v>26</v>
      </c>
      <c r="B3" s="5">
        <f>CORREL(Data!D2:D49,Data!E2:E49)</f>
        <v>0.75794456535876498</v>
      </c>
    </row>
    <row r="4" spans="1:2" x14ac:dyDescent="0.25">
      <c r="A4" t="s">
        <v>2</v>
      </c>
      <c r="B4" s="5">
        <f>CORREL(Data!C2:C49,Data!E2:E49)</f>
        <v>0.20137075820894415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5" x14ac:dyDescent="0.25"/>
  <cols>
    <col min="1" max="1" width="95" customWidth="1"/>
  </cols>
  <sheetData>
    <row r="1" spans="1:1" x14ac:dyDescent="0.25">
      <c r="A1" s="4" t="s">
        <v>8</v>
      </c>
    </row>
    <row r="2" spans="1:1" x14ac:dyDescent="0.25">
      <c r="A2" s="3" t="s">
        <v>9</v>
      </c>
    </row>
    <row r="3" spans="1:1" x14ac:dyDescent="0.25">
      <c r="A3" s="3" t="s">
        <v>10</v>
      </c>
    </row>
    <row r="4" spans="1:1" x14ac:dyDescent="0.25">
      <c r="A4" s="3" t="s">
        <v>11</v>
      </c>
    </row>
    <row r="5" spans="1:1" x14ac:dyDescent="0.25">
      <c r="A5" s="3" t="s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53E9-477A-4D74-837C-5A4E50535B93}">
  <dimension ref="A1:B6"/>
  <sheetViews>
    <sheetView workbookViewId="0">
      <selection activeCell="B1" sqref="B1"/>
    </sheetView>
  </sheetViews>
  <sheetFormatPr defaultRowHeight="15" x14ac:dyDescent="0.25"/>
  <cols>
    <col min="1" max="1" width="13.5703125" customWidth="1"/>
    <col min="2" max="2" width="94.85546875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 t="s">
        <v>20</v>
      </c>
    </row>
    <row r="3" spans="1:2" x14ac:dyDescent="0.25">
      <c r="A3" t="s">
        <v>16</v>
      </c>
      <c r="B3" t="s">
        <v>4</v>
      </c>
    </row>
    <row r="4" spans="1:2" x14ac:dyDescent="0.25">
      <c r="A4" t="s">
        <v>17</v>
      </c>
      <c r="B4" t="s">
        <v>21</v>
      </c>
    </row>
    <row r="5" spans="1:2" x14ac:dyDescent="0.25">
      <c r="A5" t="s">
        <v>18</v>
      </c>
      <c r="B5" t="s">
        <v>22</v>
      </c>
    </row>
    <row r="6" spans="1:2" x14ac:dyDescent="0.25">
      <c r="A6" t="s">
        <v>19</v>
      </c>
      <c r="B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Regression_Output</vt:lpstr>
      <vt:lpstr>Data</vt:lpstr>
      <vt:lpstr>Model</vt:lpstr>
      <vt:lpstr>Correlation</vt:lpstr>
      <vt:lpstr>About</vt:lpstr>
      <vt:lpstr>Problem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S0122410</cp:lastModifiedBy>
  <dcterms:created xsi:type="dcterms:W3CDTF">2026-10-14T14:31:45Z</dcterms:created>
  <dcterms:modified xsi:type="dcterms:W3CDTF">2026-10-16T15:42:03Z</dcterms:modified>
</cp:coreProperties>
</file>